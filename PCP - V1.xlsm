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840" windowWidth="14400" windowHeight="7800" tabRatio="500" activeTab="1"/>
  </bookViews>
  <sheets>
    <sheet name="PEGAR" sheetId="1" r:id="rId1"/>
    <sheet name="Pedido" sheetId="2" r:id="rId2"/>
    <sheet name="Maquinas" sheetId="4" r:id="rId3"/>
    <sheet name="Meses" sheetId="3" state="hidden" r:id="rId4"/>
  </sheets>
  <functionGroups builtInGroupCount="17"/>
  <calcPr calcId="145621"/>
</workbook>
</file>

<file path=xl/calcChain.xml><?xml version="1.0" encoding="utf-8"?>
<calcChain xmlns="http://schemas.openxmlformats.org/spreadsheetml/2006/main">
  <c r="I5" i="2" l="1"/>
  <c r="I4" i="2"/>
  <c r="H5" i="2" l="1"/>
  <c r="H4" i="2"/>
</calcChain>
</file>

<file path=xl/sharedStrings.xml><?xml version="1.0" encoding="utf-8"?>
<sst xmlns="http://schemas.openxmlformats.org/spreadsheetml/2006/main" count="75" uniqueCount="60">
  <si>
    <t>CIPESA 2014</t>
  </si>
  <si>
    <t>ORDEN DE PEDIDO No</t>
  </si>
  <si>
    <t>0046271</t>
  </si>
  <si>
    <t>Page 1 of 1</t>
  </si>
  <si>
    <t>Cliente :</t>
  </si>
  <si>
    <t>MECANIZADOS Y SERVICIOS GENERALES JAS S.A.C.</t>
  </si>
  <si>
    <t>De :</t>
  </si>
  <si>
    <t>ERIKA ALEGRIA PEREZ</t>
  </si>
  <si>
    <t>Fecha :</t>
  </si>
  <si>
    <t>Direccion :</t>
  </si>
  <si>
    <t>MZA. C LOTE. 10 INT. 3PIS A.V. SANTA ROSITA (3ER.PISO-ENTRADA STA.ROSA</t>
  </si>
  <si>
    <t>Ruc :</t>
  </si>
  <si>
    <t>20601559138</t>
  </si>
  <si>
    <t>ITEM</t>
  </si>
  <si>
    <t>DESCRIPCION</t>
  </si>
  <si>
    <t xml:space="preserve">#PZA / </t>
  </si>
  <si>
    <t>L. INIC</t>
  </si>
  <si>
    <t>P. INIC</t>
  </si>
  <si>
    <t>L. FINAL</t>
  </si>
  <si>
    <t>P.FINAL</t>
  </si>
  <si>
    <t>CALIBRACION</t>
  </si>
  <si>
    <t>01</t>
  </si>
  <si>
    <t>AM-AISI 4340   110  mm.Dia. X 70 MM</t>
  </si>
  <si>
    <t>Observaciones:</t>
  </si>
  <si>
    <t>EA: PARA QUE HORA PORFAVOR GRACIAS</t>
  </si>
  <si>
    <t>ORDEN</t>
  </si>
  <si>
    <t>CLIENTE</t>
  </si>
  <si>
    <t>Fecha Entrega</t>
  </si>
  <si>
    <t>Tipo Entrega</t>
  </si>
  <si>
    <t>Creación</t>
  </si>
  <si>
    <t>Hora Entrega</t>
  </si>
  <si>
    <t>Vendedor</t>
  </si>
  <si>
    <t>OBS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</si>
  <si>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</si>
  <si>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</si>
  <si>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</si>
  <si>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</si>
  <si>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</si>
  <si>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</si>
  <si>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</si>
  <si>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</si>
  <si>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</si>
  <si>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</si>
  <si>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</si>
  <si>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</si>
  <si>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ALM</t>
  </si>
  <si>
    <t>#PZA</t>
  </si>
  <si>
    <t>Direc:</t>
  </si>
  <si>
    <t>MAQUINA</t>
  </si>
  <si>
    <t>MAQ 1</t>
  </si>
  <si>
    <t>MAQ 2</t>
  </si>
  <si>
    <t>Sacar Barra 1</t>
  </si>
  <si>
    <t>Sacar Barra 2</t>
  </si>
  <si>
    <t>OBSERVACION</t>
  </si>
  <si>
    <t>Sacar Barra 3</t>
  </si>
  <si>
    <t>ACERO</t>
  </si>
  <si>
    <t>B-25-1</t>
  </si>
  <si>
    <t>B-25</t>
  </si>
  <si>
    <t>DESPACHO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</si>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</sst>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;@"/>
    <numFmt numFmtId="165" formatCode="ddd\ dd\ mmm"/>
  </numFmts>
  <fonts count="2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2"/>
      <color indexed="8"/>
      <name val="Times New Roman"/>
      <family val="1"/>
    </font>
    <font>
      <sz val="15"/>
      <color indexed="8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8"/>
      <color indexed="8"/>
      <name val="Times New Roman"/>
      <family val="1"/>
    </font>
    <font>
      <sz val="10"/>
      <color indexed="8"/>
      <name val="Times New Roman"/>
      <family val="1"/>
    </font>
    <font>
      <sz val="9"/>
      <color indexed="8"/>
      <name val="Arial"/>
      <family val="2"/>
    </font>
    <font>
      <b/>
      <sz val="12"/>
      <color indexed="8"/>
      <name val="Arial"/>
      <family val="2"/>
    </font>
    <font>
      <sz val="9"/>
      <color theme="0"/>
      <name val="Arial"/>
      <family val="2"/>
    </font>
    <font>
      <sz val="10"/>
      <color theme="0"/>
      <name val="Arial"/>
      <family val="2"/>
    </font>
    <font>
      <b/>
      <sz val="18"/>
      <color indexed="8"/>
      <name val="Cambria"/>
      <family val="1"/>
      <scheme val="major"/>
    </font>
    <font>
      <b/>
      <sz val="14"/>
      <color indexed="8"/>
      <name val="Cambria"/>
      <family val="1"/>
      <scheme val="major"/>
    </font>
    <font>
      <b/>
      <sz val="16"/>
      <color indexed="8"/>
      <name val="Calibri"/>
      <family val="2"/>
      <scheme val="minor"/>
    </font>
    <font>
      <b/>
      <sz val="24"/>
      <color indexed="8"/>
      <name val="Calibri"/>
      <family val="2"/>
      <scheme val="minor"/>
    </font>
    <font>
      <sz val="20"/>
      <color indexed="8"/>
      <name val="Tahoma"/>
      <family val="2"/>
    </font>
    <font>
      <b/>
      <sz val="14"/>
      <color theme="1"/>
      <name val="Tahoma"/>
      <family val="2"/>
    </font>
    <font>
      <b/>
      <sz val="38"/>
      <color indexed="8"/>
      <name val="Tahoma"/>
      <family val="2"/>
    </font>
    <font>
      <b/>
      <sz val="26"/>
      <color indexed="8"/>
      <name val="Tahoma"/>
      <family val="2"/>
    </font>
    <font>
      <sz val="20"/>
      <color indexed="8"/>
      <name val="Tahoma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49">
    <xf numFmtId="0" fontId="0" fillId="0" borderId="0" xfId="0">
      <alignment vertical="top"/>
    </xf>
    <xf numFmtId="0" fontId="8" fillId="0" borderId="0" xfId="0" applyFont="1">
      <alignment vertical="top"/>
    </xf>
    <xf numFmtId="0" fontId="1" fillId="0" borderId="0" xfId="1">
      <alignment vertical="top"/>
    </xf>
    <xf numFmtId="0" fontId="8" fillId="0" borderId="0" xfId="0" applyFont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" fillId="0" borderId="0" xfId="0" applyFont="1">
      <alignment vertical="top"/>
    </xf>
    <xf numFmtId="0" fontId="10" fillId="0" borderId="0" xfId="0" applyFont="1" applyBorder="1" applyAlignment="1">
      <alignment horizontal="center" vertical="top"/>
    </xf>
    <xf numFmtId="0" fontId="9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 wrapText="1" readingOrder="1"/>
    </xf>
    <xf numFmtId="0" fontId="12" fillId="0" borderId="0" xfId="0" applyFont="1" applyBorder="1" applyAlignment="1">
      <alignment horizontal="center" vertical="center" wrapText="1" readingOrder="1"/>
    </xf>
    <xf numFmtId="0" fontId="10" fillId="0" borderId="0" xfId="0" applyFont="1" applyBorder="1">
      <alignment vertical="top"/>
    </xf>
    <xf numFmtId="0" fontId="0" fillId="0" borderId="1" xfId="0" applyBorder="1">
      <alignment vertical="top"/>
    </xf>
    <xf numFmtId="164" fontId="13" fillId="0" borderId="0" xfId="0" applyNumberFormat="1" applyFont="1" applyBorder="1" applyAlignment="1">
      <alignment horizontal="center" vertical="center"/>
    </xf>
    <xf numFmtId="49" fontId="8" fillId="0" borderId="0" xfId="0" applyNumberFormat="1" applyFont="1" applyAlignment="1">
      <alignment horizontal="center" vertical="top" readingOrder="1"/>
    </xf>
    <xf numFmtId="49" fontId="9" fillId="0" borderId="0" xfId="0" applyNumberFormat="1" applyFont="1" applyBorder="1" applyAlignment="1">
      <alignment horizontal="left" vertical="center"/>
    </xf>
    <xf numFmtId="49" fontId="9" fillId="0" borderId="0" xfId="0" applyNumberFormat="1" applyFont="1" applyBorder="1" applyAlignment="1">
      <alignment horizontal="left" vertical="center" wrapText="1"/>
    </xf>
    <xf numFmtId="0" fontId="14" fillId="0" borderId="0" xfId="0" applyNumberFormat="1" applyFont="1" applyBorder="1" applyAlignment="1">
      <alignment vertical="center"/>
    </xf>
    <xf numFmtId="0" fontId="15" fillId="0" borderId="0" xfId="0" applyNumberFormat="1" applyFont="1" applyBorder="1" applyAlignment="1">
      <alignment horizontal="center" vertical="center" wrapText="1"/>
    </xf>
    <xf numFmtId="0" fontId="14" fillId="0" borderId="0" xfId="0" applyNumberFormat="1" applyFont="1" applyBorder="1" applyAlignment="1">
      <alignment horizontal="left" vertical="center" wrapText="1"/>
    </xf>
    <xf numFmtId="0" fontId="14" fillId="0" borderId="0" xfId="0" applyNumberFormat="1" applyFont="1" applyBorder="1" applyAlignment="1">
      <alignment horizontal="center" vertical="center"/>
    </xf>
    <xf numFmtId="49" fontId="16" fillId="0" borderId="2" xfId="0" applyNumberFormat="1" applyFont="1" applyBorder="1" applyAlignment="1">
      <alignment horizontal="center" vertical="center" readingOrder="1"/>
    </xf>
    <xf numFmtId="0" fontId="16" fillId="0" borderId="2" xfId="0" applyFont="1" applyBorder="1" applyAlignment="1">
      <alignment horizontal="center" vertical="center" readingOrder="1"/>
    </xf>
    <xf numFmtId="0" fontId="16" fillId="0" borderId="2" xfId="0" applyFont="1" applyBorder="1" applyAlignment="1">
      <alignment horizontal="left" vertical="center" readingOrder="1"/>
    </xf>
    <xf numFmtId="49" fontId="17" fillId="2" borderId="1" xfId="0" applyNumberFormat="1" applyFont="1" applyFill="1" applyBorder="1" applyAlignment="1">
      <alignment horizontal="center" vertical="center" wrapText="1" readingOrder="1"/>
    </xf>
    <xf numFmtId="0" fontId="17" fillId="2" borderId="1" xfId="0" applyFont="1" applyFill="1" applyBorder="1" applyAlignment="1">
      <alignment horizontal="center" vertical="center" wrapText="1" readingOrder="1"/>
    </xf>
    <xf numFmtId="0" fontId="18" fillId="0" borderId="0" xfId="0" applyNumberFormat="1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 readingOrder="1"/>
    </xf>
    <xf numFmtId="0" fontId="20" fillId="0" borderId="2" xfId="0" applyFont="1" applyBorder="1" applyAlignment="1">
      <alignment horizontal="left" vertical="center" readingOrder="1"/>
    </xf>
    <xf numFmtId="0" fontId="20" fillId="0" borderId="2" xfId="0" applyFont="1" applyBorder="1" applyAlignment="1">
      <alignment horizontal="center" vertical="center" readingOrder="1"/>
    </xf>
    <xf numFmtId="0" fontId="5" fillId="0" borderId="0" xfId="1" applyFont="1" applyAlignment="1">
      <alignment horizontal="left" vertical="top" wrapText="1" readingOrder="1"/>
    </xf>
    <xf numFmtId="0" fontId="7" fillId="0" borderId="0" xfId="1" applyFont="1" applyAlignment="1">
      <alignment horizontal="left" vertical="top" wrapText="1" readingOrder="1"/>
    </xf>
    <xf numFmtId="0" fontId="4" fillId="0" borderId="0" xfId="1" applyFont="1" applyAlignment="1">
      <alignment horizontal="left" vertical="top" wrapText="1"/>
    </xf>
    <xf numFmtId="0" fontId="2" fillId="0" borderId="0" xfId="1" applyFont="1" applyAlignment="1">
      <alignment horizontal="left" vertical="top" wrapText="1"/>
    </xf>
    <xf numFmtId="0" fontId="3" fillId="0" borderId="0" xfId="1" applyFont="1" applyAlignment="1">
      <alignment horizontal="left" vertical="top" wrapText="1" readingOrder="1"/>
    </xf>
    <xf numFmtId="0" fontId="3" fillId="0" borderId="0" xfId="1" applyFont="1" applyAlignment="1">
      <alignment horizontal="left" vertical="top" wrapText="1"/>
    </xf>
    <xf numFmtId="0" fontId="4" fillId="0" borderId="0" xfId="1" applyFont="1" applyAlignment="1">
      <alignment horizontal="right" vertical="top" wrapText="1"/>
    </xf>
    <xf numFmtId="4" fontId="4" fillId="0" borderId="0" xfId="1" applyNumberFormat="1" applyFont="1" applyAlignment="1">
      <alignment horizontal="right" vertical="top" wrapText="1"/>
    </xf>
    <xf numFmtId="0" fontId="1" fillId="0" borderId="0" xfId="1" applyFont="1" applyAlignment="1">
      <alignment horizontal="left" vertical="top" wrapText="1"/>
    </xf>
    <xf numFmtId="0" fontId="4" fillId="0" borderId="0" xfId="1" applyFont="1" applyAlignment="1">
      <alignment horizontal="left" vertical="top" wrapText="1" readingOrder="1"/>
    </xf>
    <xf numFmtId="0" fontId="6" fillId="0" borderId="0" xfId="1" applyFont="1" applyAlignment="1">
      <alignment horizontal="left" vertical="top" wrapText="1" readingOrder="1"/>
    </xf>
    <xf numFmtId="14" fontId="4" fillId="0" borderId="0" xfId="1" applyNumberFormat="1" applyFont="1" applyAlignment="1">
      <alignment horizontal="left" vertical="top" wrapText="1"/>
    </xf>
    <xf numFmtId="19" fontId="4" fillId="0" borderId="0" xfId="1" applyNumberFormat="1" applyFont="1" applyAlignment="1">
      <alignment horizontal="left" vertical="top" wrapText="1"/>
    </xf>
    <xf numFmtId="0" fontId="19" fillId="0" borderId="0" xfId="0" applyFont="1" applyBorder="1" applyAlignment="1">
      <alignment horizontal="center" vertical="center"/>
    </xf>
    <xf numFmtId="18" fontId="19" fillId="0" borderId="0" xfId="0" applyNumberFormat="1" applyFont="1" applyBorder="1" applyAlignment="1">
      <alignment horizontal="center" vertical="center"/>
    </xf>
    <xf numFmtId="165" fontId="19" fillId="0" borderId="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Tahoma"/>
        <scheme val="none"/>
      </font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Tahoma"/>
        <scheme val="none"/>
      </font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Tahoma"/>
        <scheme val="none"/>
      </font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Tahoma"/>
        <scheme val="none"/>
      </font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Tahoma"/>
        <scheme val="none"/>
      </font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Tahoma"/>
        <scheme val="none"/>
      </font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Tahoma"/>
        <scheme val="none"/>
      </font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Tahoma"/>
        <scheme val="none"/>
      </font>
      <alignment horizontal="left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Tahoma"/>
        <scheme val="none"/>
      </font>
      <numFmt numFmtId="30" formatCode="@"/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Tahoma"/>
        <scheme val="none"/>
      </font>
      <alignment horizontal="center" vertical="center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ahoma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</font>
      <fill>
        <patternFill>
          <bgColor rgb="FFFF0000"/>
        </patternFill>
      </fill>
    </dxf>
    <dxf>
      <font>
        <b/>
        <i/>
      </font>
      <fill>
        <patternFill>
          <bgColor rgb="FFFDFFBD"/>
        </patternFill>
      </fill>
    </dxf>
    <dxf>
      <font>
        <b/>
        <i/>
      </font>
      <fill>
        <patternFill>
          <bgColor rgb="FFFDFFBD"/>
        </patternFill>
      </fill>
    </dxf>
    <dxf>
      <font>
        <b/>
        <i/>
      </font>
      <fill>
        <patternFill>
          <bgColor rgb="FFFDFFBD"/>
        </patternFill>
      </fill>
    </dxf>
    <dxf>
      <font>
        <b/>
        <i/>
      </font>
      <fill>
        <patternFill>
          <bgColor rgb="FFFDFFBD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  <mruColors>
      <color rgb="FFFDFFBD"/>
      <color rgb="FFFFFF7D"/>
      <color rgb="FFFFFFC1"/>
      <color rgb="FFFFFF00"/>
      <color rgb="FFFFCC66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0</xdr:row>
          <xdr:rowOff>228600</xdr:rowOff>
        </xdr:from>
        <xdr:to>
          <xdr:col>5</xdr:col>
          <xdr:colOff>1581150</xdr:colOff>
          <xdr:row>3</xdr:row>
          <xdr:rowOff>219075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465666</xdr:colOff>
      <xdr:row>3</xdr:row>
      <xdr:rowOff>47625</xdr:rowOff>
    </xdr:from>
    <xdr:to>
      <xdr:col>8</xdr:col>
      <xdr:colOff>910167</xdr:colOff>
      <xdr:row>3</xdr:row>
      <xdr:rowOff>412750</xdr:rowOff>
    </xdr:to>
    <xdr:sp macro="[0]!GRABAR" textlink="">
      <xdr:nvSpPr>
        <xdr:cNvPr id="4" name="3 Redondear rectángulo de esquina del mismo lado"/>
        <xdr:cNvSpPr/>
      </xdr:nvSpPr>
      <xdr:spPr>
        <a:xfrm>
          <a:off x="9662583" y="1465792"/>
          <a:ext cx="1259417" cy="365125"/>
        </a:xfrm>
        <a:prstGeom prst="round2SameRect">
          <a:avLst/>
        </a:prstGeom>
        <a:solidFill>
          <a:schemeClr val="bg1">
            <a:lumMod val="9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>
              <a:solidFill>
                <a:sysClr val="windowText" lastClr="000000"/>
              </a:solidFill>
              <a:latin typeface="+mj-lt"/>
            </a:rPr>
            <a:t>GRABAR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7:I9" totalsRowShown="0" headerRowDxfId="10" dataDxfId="9">
  <tableColumns count="9">
    <tableColumn id="4" name="ITEM" dataDxfId="8"/>
    <tableColumn id="5" name="DESCRIPCION" dataDxfId="7"/>
    <tableColumn id="6" name="#PZA" dataDxfId="6"/>
    <tableColumn id="14" name="ALM" dataDxfId="5"/>
    <tableColumn id="7" name="MAQUINA" dataDxfId="4"/>
    <tableColumn id="8" name="Sacar Barra 1" dataDxfId="3"/>
    <tableColumn id="9" name="Sacar Barra 2" dataDxfId="2"/>
    <tableColumn id="10" name="Sacar Barra 3" dataDxfId="1"/>
    <tableColumn id="11" name="OBSERVACION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F17"/>
  <sheetViews>
    <sheetView showGridLines="0" showOutlineSymbols="0" workbookViewId="0">
      <selection activeCell="H21" sqref="A21:H26"/>
    </sheetView>
  </sheetViews>
  <sheetFormatPr baseColWidth="10" defaultColWidth="19.5703125" defaultRowHeight="12.75" customHeight="1" x14ac:dyDescent="0.2"/>
  <cols>
    <col min="1" max="1" width="14" customWidth="1"/>
    <col min="2" max="2" width="6.28515625" customWidth="1"/>
    <col min="3" max="3" width="7.28515625" customWidth="1"/>
    <col min="4" max="4" width="8" customWidth="1"/>
    <col min="5" max="5" width="5.85546875" customWidth="1"/>
    <col min="6" max="6" width="26.7109375" customWidth="1"/>
  </cols>
  <sheetData>
    <row r="1" spans="1:32" ht="21" customHeight="1" x14ac:dyDescent="0.2">
      <c r="A1" s="36" t="s">
        <v>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2"/>
      <c r="Z1" s="2"/>
      <c r="AA1" s="2"/>
      <c r="AB1" s="2"/>
      <c r="AC1" s="2"/>
      <c r="AD1" s="2"/>
      <c r="AE1" s="2"/>
      <c r="AF1" s="2"/>
    </row>
    <row r="2" spans="1:32" ht="7.5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37.5" customHeight="1" x14ac:dyDescent="0.2">
      <c r="A4" s="2"/>
      <c r="B4" s="2"/>
      <c r="C4" s="2"/>
      <c r="D4" s="2"/>
      <c r="E4" s="2"/>
      <c r="F4" s="2"/>
      <c r="G4" s="2"/>
      <c r="H4" s="2"/>
      <c r="I4" s="37" t="s">
        <v>1</v>
      </c>
      <c r="J4" s="37"/>
      <c r="K4" s="37"/>
      <c r="L4" s="37"/>
      <c r="M4" s="37"/>
      <c r="N4" s="37"/>
      <c r="O4" s="2"/>
      <c r="P4" s="38" t="s">
        <v>2</v>
      </c>
      <c r="Q4" s="38"/>
      <c r="R4" s="38"/>
      <c r="S4" s="38"/>
      <c r="T4" s="38"/>
      <c r="U4" s="38"/>
      <c r="V4" s="2"/>
      <c r="W4" s="2"/>
      <c r="X4" s="2"/>
      <c r="Y4" s="2"/>
      <c r="Z4" s="2"/>
      <c r="AA4" s="2"/>
      <c r="AB4" s="41" t="s">
        <v>3</v>
      </c>
      <c r="AC4" s="41"/>
      <c r="AD4" s="41"/>
      <c r="AE4" s="41"/>
      <c r="AF4" s="2"/>
    </row>
    <row r="5" spans="1:32" ht="9.75" customHeight="1" x14ac:dyDescent="0.2">
      <c r="A5" s="2"/>
      <c r="B5" s="2"/>
      <c r="C5" s="2"/>
      <c r="D5" s="2"/>
      <c r="E5" s="2"/>
      <c r="F5" s="2"/>
      <c r="G5" s="2"/>
      <c r="H5" s="2"/>
      <c r="I5" s="37"/>
      <c r="J5" s="37"/>
      <c r="K5" s="37"/>
      <c r="L5" s="37"/>
      <c r="M5" s="37"/>
      <c r="N5" s="37"/>
      <c r="O5" s="2"/>
      <c r="P5" s="38"/>
      <c r="Q5" s="38"/>
      <c r="R5" s="38"/>
      <c r="S5" s="38"/>
      <c r="T5" s="38"/>
      <c r="U5" s="38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4.5" customHeight="1" x14ac:dyDescent="0.2">
      <c r="A6" s="2"/>
      <c r="B6" s="2"/>
      <c r="C6" s="2"/>
      <c r="D6" s="2"/>
      <c r="E6" s="2"/>
      <c r="F6" s="2"/>
      <c r="G6" s="2"/>
      <c r="H6" s="2"/>
      <c r="I6" s="37"/>
      <c r="J6" s="37"/>
      <c r="K6" s="37"/>
      <c r="L6" s="37"/>
      <c r="M6" s="37"/>
      <c r="N6" s="37"/>
      <c r="O6" s="2"/>
      <c r="P6" s="38"/>
      <c r="Q6" s="38"/>
      <c r="R6" s="38"/>
      <c r="S6" s="38"/>
      <c r="T6" s="38"/>
      <c r="U6" s="38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13.5" customHeight="1" x14ac:dyDescent="0.2">
      <c r="A7" s="2"/>
      <c r="B7" s="2"/>
      <c r="C7" s="2"/>
      <c r="D7" s="2"/>
      <c r="E7" s="42" t="s">
        <v>4</v>
      </c>
      <c r="F7" s="42"/>
      <c r="G7" s="42"/>
      <c r="H7" s="2"/>
      <c r="I7" s="35" t="s">
        <v>5</v>
      </c>
      <c r="J7" s="35"/>
      <c r="K7" s="35"/>
      <c r="L7" s="35"/>
      <c r="M7" s="35"/>
      <c r="N7" s="35"/>
      <c r="O7" s="35"/>
      <c r="P7" s="35"/>
      <c r="Q7" s="35"/>
      <c r="R7" s="35"/>
      <c r="S7" s="35"/>
      <c r="T7" s="2"/>
      <c r="U7" s="42" t="s">
        <v>6</v>
      </c>
      <c r="V7" s="42"/>
      <c r="W7" s="35" t="s">
        <v>7</v>
      </c>
      <c r="X7" s="35"/>
      <c r="Y7" s="35"/>
      <c r="Z7" s="35"/>
      <c r="AA7" s="35"/>
      <c r="AB7" s="35"/>
      <c r="AC7" s="35"/>
      <c r="AD7" s="2"/>
      <c r="AE7" s="2"/>
      <c r="AF7" s="2"/>
    </row>
    <row r="8" spans="1:32" ht="6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ht="21.75" customHeight="1" x14ac:dyDescent="0.2">
      <c r="A9" s="2"/>
      <c r="B9" s="2"/>
      <c r="C9" s="2"/>
      <c r="D9" s="2"/>
      <c r="E9" s="42" t="s">
        <v>8</v>
      </c>
      <c r="F9" s="2"/>
      <c r="G9" s="2"/>
      <c r="H9" s="2"/>
      <c r="I9" s="44">
        <v>42710</v>
      </c>
      <c r="J9" s="44"/>
      <c r="K9" s="2"/>
      <c r="L9" s="45">
        <v>0.55156249999999996</v>
      </c>
      <c r="M9" s="45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ht="34.5" customHeight="1" x14ac:dyDescent="0.2">
      <c r="A10" s="2"/>
      <c r="B10" s="2"/>
      <c r="C10" s="2"/>
      <c r="D10" s="2"/>
      <c r="E10" s="42"/>
      <c r="F10" s="2"/>
      <c r="G10" s="2"/>
      <c r="H10" s="2"/>
      <c r="I10" s="44"/>
      <c r="J10" s="44"/>
      <c r="K10" s="2"/>
      <c r="L10" s="45"/>
      <c r="M10" s="45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2" ht="14.25" customHeight="1" x14ac:dyDescent="0.2">
      <c r="A11" s="2"/>
      <c r="B11" s="2"/>
      <c r="C11" s="2"/>
      <c r="D11" s="2"/>
      <c r="E11" s="42" t="s">
        <v>9</v>
      </c>
      <c r="F11" s="42"/>
      <c r="G11" s="42"/>
      <c r="H11" s="42"/>
      <c r="I11" s="35" t="s">
        <v>10</v>
      </c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2" ht="13.5" customHeight="1" x14ac:dyDescent="0.2">
      <c r="A12" s="2"/>
      <c r="B12" s="2"/>
      <c r="C12" s="2"/>
      <c r="D12" s="2"/>
      <c r="E12" s="42" t="s">
        <v>11</v>
      </c>
      <c r="F12" s="42"/>
      <c r="G12" s="42"/>
      <c r="H12" s="2"/>
      <c r="I12" s="35" t="s">
        <v>12</v>
      </c>
      <c r="J12" s="35"/>
      <c r="K12" s="35"/>
      <c r="L12" s="35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2" ht="26.25" customHeight="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ht="17.25" customHeight="1" x14ac:dyDescent="0.2">
      <c r="A14" s="33" t="s">
        <v>13</v>
      </c>
      <c r="B14" s="33"/>
      <c r="C14" s="33"/>
      <c r="D14" s="2"/>
      <c r="E14" s="33" t="s">
        <v>14</v>
      </c>
      <c r="F14" s="33"/>
      <c r="G14" s="33"/>
      <c r="H14" s="33"/>
      <c r="I14" s="33"/>
      <c r="J14" s="2"/>
      <c r="K14" s="2"/>
      <c r="L14" s="2"/>
      <c r="M14" s="2"/>
      <c r="N14" s="2"/>
      <c r="O14" s="2"/>
      <c r="P14" s="2"/>
      <c r="Q14" s="33" t="s">
        <v>15</v>
      </c>
      <c r="R14" s="33"/>
      <c r="S14" s="33" t="s">
        <v>16</v>
      </c>
      <c r="T14" s="33"/>
      <c r="U14" s="33"/>
      <c r="V14" s="33" t="s">
        <v>17</v>
      </c>
      <c r="W14" s="33"/>
      <c r="X14" s="33"/>
      <c r="Y14" s="33"/>
      <c r="Z14" s="33"/>
      <c r="AA14" s="33" t="s">
        <v>18</v>
      </c>
      <c r="AB14" s="33"/>
      <c r="AC14" s="33" t="s">
        <v>19</v>
      </c>
      <c r="AD14" s="33"/>
      <c r="AE14" s="43" t="s">
        <v>20</v>
      </c>
      <c r="AF14" s="43"/>
    </row>
    <row r="15" spans="1:32" ht="16.5" customHeight="1" x14ac:dyDescent="0.2">
      <c r="A15" s="39" t="s">
        <v>21</v>
      </c>
      <c r="B15" s="39"/>
      <c r="C15" s="2"/>
      <c r="D15" s="2"/>
      <c r="E15" s="35" t="s">
        <v>22</v>
      </c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2"/>
      <c r="Q15" s="40">
        <v>1</v>
      </c>
      <c r="R15" s="40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16.5" customHeight="1" x14ac:dyDescent="0.2">
      <c r="A16" s="39">
        <v>2</v>
      </c>
      <c r="B16" s="39"/>
      <c r="C16" s="2"/>
      <c r="D16" s="2"/>
      <c r="E16" s="35" t="s">
        <v>55</v>
      </c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2"/>
      <c r="Q16" s="40">
        <v>2</v>
      </c>
      <c r="R16" s="40"/>
      <c r="S16" s="2"/>
      <c r="T16" s="2"/>
    </row>
    <row r="17" spans="1:20" ht="16.5" customHeight="1" x14ac:dyDescent="0.2">
      <c r="A17" s="34" t="s">
        <v>23</v>
      </c>
      <c r="B17" s="34"/>
      <c r="C17" s="34"/>
      <c r="D17" s="34"/>
      <c r="E17" s="34"/>
      <c r="F17" s="34"/>
      <c r="G17" s="35" t="s">
        <v>24</v>
      </c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</row>
  </sheetData>
  <mergeCells count="31">
    <mergeCell ref="AE14:AF14"/>
    <mergeCell ref="E9:E10"/>
    <mergeCell ref="I9:J10"/>
    <mergeCell ref="L9:M10"/>
    <mergeCell ref="E11:H11"/>
    <mergeCell ref="I11:S11"/>
    <mergeCell ref="I12:L12"/>
    <mergeCell ref="Q14:R14"/>
    <mergeCell ref="S14:U14"/>
    <mergeCell ref="V14:Z14"/>
    <mergeCell ref="AA14:AB14"/>
    <mergeCell ref="E12:G12"/>
    <mergeCell ref="AC14:AD14"/>
    <mergeCell ref="AB4:AE4"/>
    <mergeCell ref="E7:G7"/>
    <mergeCell ref="I7:S7"/>
    <mergeCell ref="U7:V7"/>
    <mergeCell ref="W7:AC7"/>
    <mergeCell ref="A14:C14"/>
    <mergeCell ref="E14:I14"/>
    <mergeCell ref="A17:F17"/>
    <mergeCell ref="G17:T17"/>
    <mergeCell ref="A1:X1"/>
    <mergeCell ref="I4:N6"/>
    <mergeCell ref="P4:U6"/>
    <mergeCell ref="A15:B15"/>
    <mergeCell ref="E15:O15"/>
    <mergeCell ref="Q15:R15"/>
    <mergeCell ref="A16:B16"/>
    <mergeCell ref="E16:O16"/>
    <mergeCell ref="Q16:R16"/>
  </mergeCells>
  <pageMargins left="0" right="0" top="0" bottom="0" header="0" footer="0"/>
  <pageSetup paperSize="190" fitToWidth="0" fitToHeight="0" orientation="portrait" horizontalDpi="4294967293" vertic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352425</xdr:colOff>
                <xdr:row>0</xdr:row>
                <xdr:rowOff>228600</xdr:rowOff>
              </from>
              <to>
                <xdr:col>5</xdr:col>
                <xdr:colOff>1581150</xdr:colOff>
                <xdr:row>3</xdr:row>
                <xdr:rowOff>219075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I9"/>
  <sheetViews>
    <sheetView tabSelected="1" zoomScale="90" zoomScaleNormal="90" workbookViewId="0">
      <selection activeCell="B12" sqref="B12"/>
    </sheetView>
  </sheetViews>
  <sheetFormatPr baseColWidth="10" defaultRowHeight="12.75" x14ac:dyDescent="0.2"/>
  <cols>
    <col min="1" max="1" width="11.28515625" style="17" bestFit="1" customWidth="1"/>
    <col min="2" max="2" width="97.42578125" style="7" customWidth="1"/>
    <col min="3" max="3" width="9.85546875" style="3" customWidth="1"/>
    <col min="4" max="4" width="15.28515625" style="3" customWidth="1"/>
    <col min="5" max="5" width="17.7109375" style="3" customWidth="1"/>
    <col min="6" max="6" width="12.5703125" style="3" customWidth="1"/>
    <col min="7" max="7" width="12.42578125" style="3" customWidth="1"/>
    <col min="8" max="8" width="12.28515625" style="3" customWidth="1"/>
    <col min="9" max="9" width="22.85546875" style="3" customWidth="1"/>
    <col min="10" max="16384" width="11.42578125" style="1"/>
  </cols>
  <sheetData>
    <row r="1" spans="1:9" x14ac:dyDescent="0.2">
      <c r="B1" s="6"/>
      <c r="C1" s="4"/>
      <c r="D1" s="4"/>
      <c r="E1" s="4"/>
      <c r="F1" s="4"/>
      <c r="G1" s="4"/>
    </row>
    <row r="2" spans="1:9" ht="50.25" customHeight="1" x14ac:dyDescent="0.2">
      <c r="A2" s="18" t="s">
        <v>25</v>
      </c>
      <c r="B2" s="29">
        <v>23</v>
      </c>
      <c r="C2" s="5"/>
      <c r="D2" s="13" t="s">
        <v>27</v>
      </c>
      <c r="E2" s="48"/>
      <c r="F2" s="48"/>
    </row>
    <row r="3" spans="1:9" ht="56.25" customHeight="1" x14ac:dyDescent="0.2">
      <c r="A3" s="18" t="s">
        <v>26</v>
      </c>
      <c r="B3" s="21" t="s">
        <v>5</v>
      </c>
      <c r="C3" s="5"/>
      <c r="D3" s="13" t="s">
        <v>30</v>
      </c>
      <c r="E3" s="47"/>
      <c r="F3" s="47"/>
      <c r="G3" s="4"/>
      <c r="H3" s="11" t="s">
        <v>29</v>
      </c>
      <c r="I3" s="16">
        <v>42710</v>
      </c>
    </row>
    <row r="4" spans="1:9" ht="52.5" customHeight="1" x14ac:dyDescent="0.2">
      <c r="A4" s="18" t="s">
        <v>47</v>
      </c>
      <c r="B4" s="22" t="s">
        <v>10</v>
      </c>
      <c r="D4" s="13" t="s">
        <v>28</v>
      </c>
      <c r="E4" s="46" t="s">
        <v>58</v>
      </c>
      <c r="F4" s="46"/>
      <c r="H4" s="10">
        <f>YEAR(I3)</f>
        <v>2016</v>
      </c>
      <c r="I4" s="14" t="str">
        <f>IF(DAY(I3)&gt;=10,DAY(I3),"0"&amp;DAY(I3))&amp;"-"&amp;IF(MONTH(I3)&gt;=10,MONTH(I3),"0"&amp;MONTH(I3))&amp;"-"&amp;MID(YEAR(I3),3,2)</f>
        <v>06-12-16</v>
      </c>
    </row>
    <row r="5" spans="1:9" ht="35.25" customHeight="1" x14ac:dyDescent="0.2">
      <c r="A5" s="19" t="s">
        <v>32</v>
      </c>
      <c r="B5" s="23" t="s">
        <v>24</v>
      </c>
      <c r="D5" s="12" t="s">
        <v>31</v>
      </c>
      <c r="E5" s="20" t="s">
        <v>7</v>
      </c>
      <c r="H5" s="10" t="str">
        <f>B2&amp;" "&amp;B3</f>
        <v>23 MECANIZADOS Y SERVICIOS GENERALES JAS S.A.C.</v>
      </c>
      <c r="I5" s="10" t="str">
        <f>IF(MONTH(I3)&gt;=10,MONTH(I3),"0"&amp;MONTH(I3))&amp;"-"&amp;VLOOKUP(MONTH(I3),Meses!A:B,2,0)&amp;"-"&amp;MID(YEAR(I3),3,2)</f>
        <v>12-Diciembre-16</v>
      </c>
    </row>
    <row r="6" spans="1:9" x14ac:dyDescent="0.2">
      <c r="B6" s="8"/>
    </row>
    <row r="7" spans="1:9" ht="36" x14ac:dyDescent="0.2">
      <c r="A7" s="27" t="s">
        <v>13</v>
      </c>
      <c r="B7" s="28" t="s">
        <v>14</v>
      </c>
      <c r="C7" s="28" t="s">
        <v>46</v>
      </c>
      <c r="D7" s="28" t="s">
        <v>45</v>
      </c>
      <c r="E7" s="28" t="s">
        <v>48</v>
      </c>
      <c r="F7" s="28" t="s">
        <v>51</v>
      </c>
      <c r="G7" s="28" t="s">
        <v>52</v>
      </c>
      <c r="H7" s="28" t="s">
        <v>54</v>
      </c>
      <c r="I7" s="28" t="s">
        <v>53</v>
      </c>
    </row>
    <row r="8" spans="1:9" ht="38.1" customHeight="1" x14ac:dyDescent="0.2">
      <c r="A8" s="24" t="s">
        <v>21</v>
      </c>
      <c r="B8" s="26" t="s">
        <v>22</v>
      </c>
      <c r="C8" s="25">
        <v>1</v>
      </c>
      <c r="D8" s="25"/>
      <c r="E8" s="25"/>
      <c r="F8" s="25"/>
      <c r="G8" s="25"/>
      <c r="H8" s="25"/>
      <c r="I8" s="25"/>
    </row>
    <row r="9" spans="1:9" ht="38.1" customHeight="1" x14ac:dyDescent="0.2">
      <c r="A9" s="30">
        <v>2</v>
      </c>
      <c r="B9" s="31" t="s">
        <v>55</v>
      </c>
      <c r="C9" s="32">
        <v>2</v>
      </c>
      <c r="D9" s="32" t="s">
        <v>59</v>
      </c>
      <c r="E9" s="32"/>
      <c r="F9" s="32"/>
      <c r="G9" s="32"/>
      <c r="H9" s="32"/>
      <c r="I9" s="32"/>
    </row>
  </sheetData>
  <mergeCells count="3">
    <mergeCell ref="E4:F4"/>
    <mergeCell ref="E3:F3"/>
    <mergeCell ref="E2:F2"/>
  </mergeCells>
  <conditionalFormatting sqref="D8:D9">
    <cfRule type="cellIs" dxfId="15" priority="13" stopIfTrue="1" operator="equal">
      <formula>"SIGMA"</formula>
    </cfRule>
  </conditionalFormatting>
  <conditionalFormatting sqref="B8:B9">
    <cfRule type="expression" dxfId="14" priority="9" stopIfTrue="1">
      <formula>D8="SIGMA"</formula>
    </cfRule>
  </conditionalFormatting>
  <conditionalFormatting sqref="C8:C9">
    <cfRule type="expression" dxfId="13" priority="8" stopIfTrue="1">
      <formula>D8="SIGMA"</formula>
    </cfRule>
  </conditionalFormatting>
  <conditionalFormatting sqref="A8:A9">
    <cfRule type="expression" dxfId="12" priority="131" stopIfTrue="1">
      <formula>D8="SIGMA"</formula>
    </cfRule>
    <cfRule type="cellIs" dxfId="11" priority="133" operator="equal">
      <formula>"SIGMA"</formula>
    </cfRule>
  </conditionalFormatting>
  <dataValidations count="2">
    <dataValidation type="list" showInputMessage="1" showErrorMessage="1" sqref="E4">
      <formula1>"OFICINA,DESPACHO, escoger"</formula1>
    </dataValidation>
    <dataValidation type="list" allowBlank="1" showInputMessage="1" showErrorMessage="1" sqref="D8:D9">
      <formula1>"SIGMA,CIPESA,escoger"</formula1>
    </dataValidation>
  </dataValidations>
  <printOptions horizontalCentered="1"/>
  <pageMargins left="0.19685039370078741" right="0.19685039370078741" top="0.74803149606299213" bottom="0.74803149606299213" header="0.31496062992125984" footer="0.31496062992125984"/>
  <pageSetup paperSize="9" scale="49" orientation="portrait" horizontalDpi="120" verticalDpi="72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Maquinas!$B$1:$B$8</xm:f>
          </x14:formula1>
          <xm:sqref>E8:E9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8"/>
  <sheetViews>
    <sheetView workbookViewId="0">
      <selection activeCell="B1" sqref="B1"/>
    </sheetView>
  </sheetViews>
  <sheetFormatPr baseColWidth="10" defaultRowHeight="12.75" x14ac:dyDescent="0.2"/>
  <sheetData>
    <row r="1" spans="1:2" x14ac:dyDescent="0.2">
      <c r="A1" s="15" t="s">
        <v>49</v>
      </c>
      <c r="B1" s="15">
        <v>450</v>
      </c>
    </row>
    <row r="2" spans="1:2" x14ac:dyDescent="0.2">
      <c r="A2" s="15" t="s">
        <v>50</v>
      </c>
      <c r="B2" s="15" t="s">
        <v>56</v>
      </c>
    </row>
    <row r="3" spans="1:2" x14ac:dyDescent="0.2">
      <c r="A3" s="15" t="s">
        <v>50</v>
      </c>
      <c r="B3" s="15" t="s">
        <v>57</v>
      </c>
    </row>
    <row r="4" spans="1:2" x14ac:dyDescent="0.2">
      <c r="A4" s="15" t="s">
        <v>50</v>
      </c>
      <c r="B4" s="15">
        <v>1016</v>
      </c>
    </row>
    <row r="5" spans="1:2" x14ac:dyDescent="0.2">
      <c r="A5" s="15" t="s">
        <v>50</v>
      </c>
      <c r="B5" s="15">
        <v>250</v>
      </c>
    </row>
    <row r="6" spans="1:2" x14ac:dyDescent="0.2">
      <c r="A6" s="15" t="s">
        <v>50</v>
      </c>
      <c r="B6" s="15"/>
    </row>
    <row r="7" spans="1:2" x14ac:dyDescent="0.2">
      <c r="A7" s="15" t="s">
        <v>50</v>
      </c>
      <c r="B7" s="15"/>
    </row>
    <row r="8" spans="1:2" x14ac:dyDescent="0.2">
      <c r="A8" s="15" t="s">
        <v>50</v>
      </c>
      <c r="B8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2"/>
  <sheetViews>
    <sheetView workbookViewId="0">
      <selection activeCell="E22" sqref="E22"/>
    </sheetView>
  </sheetViews>
  <sheetFormatPr baseColWidth="10" defaultRowHeight="12.75" x14ac:dyDescent="0.2"/>
  <sheetData>
    <row r="1" spans="1:2" x14ac:dyDescent="0.2">
      <c r="A1">
        <v>1</v>
      </c>
      <c r="B1" s="9" t="s">
        <v>33</v>
      </c>
    </row>
    <row r="2" spans="1:2" x14ac:dyDescent="0.2">
      <c r="A2">
        <v>2</v>
      </c>
      <c r="B2" s="9" t="s">
        <v>34</v>
      </c>
    </row>
    <row r="3" spans="1:2" x14ac:dyDescent="0.2">
      <c r="A3">
        <v>3</v>
      </c>
      <c r="B3" s="9" t="s">
        <v>35</v>
      </c>
    </row>
    <row r="4" spans="1:2" x14ac:dyDescent="0.2">
      <c r="A4">
        <v>4</v>
      </c>
      <c r="B4" s="9" t="s">
        <v>36</v>
      </c>
    </row>
    <row r="5" spans="1:2" x14ac:dyDescent="0.2">
      <c r="A5">
        <v>5</v>
      </c>
      <c r="B5" s="9" t="s">
        <v>37</v>
      </c>
    </row>
    <row r="6" spans="1:2" x14ac:dyDescent="0.2">
      <c r="A6">
        <v>6</v>
      </c>
      <c r="B6" s="9" t="s">
        <v>38</v>
      </c>
    </row>
    <row r="7" spans="1:2" x14ac:dyDescent="0.2">
      <c r="A7">
        <v>7</v>
      </c>
      <c r="B7" s="9" t="s">
        <v>39</v>
      </c>
    </row>
    <row r="8" spans="1:2" x14ac:dyDescent="0.2">
      <c r="A8">
        <v>8</v>
      </c>
      <c r="B8" s="9" t="s">
        <v>40</v>
      </c>
    </row>
    <row r="9" spans="1:2" x14ac:dyDescent="0.2">
      <c r="A9">
        <v>9</v>
      </c>
      <c r="B9" s="9" t="s">
        <v>41</v>
      </c>
    </row>
    <row r="10" spans="1:2" x14ac:dyDescent="0.2">
      <c r="A10">
        <v>10</v>
      </c>
      <c r="B10" s="9" t="s">
        <v>42</v>
      </c>
    </row>
    <row r="11" spans="1:2" x14ac:dyDescent="0.2">
      <c r="A11">
        <v>11</v>
      </c>
      <c r="B11" s="9" t="s">
        <v>43</v>
      </c>
    </row>
    <row r="12" spans="1:2" x14ac:dyDescent="0.2">
      <c r="A12">
        <v>12</v>
      </c>
      <c r="B12" s="9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PEGAR</vt:lpstr>
      <vt:lpstr>Pedido</vt:lpstr>
      <vt:lpstr>Maquinas</vt:lpstr>
      <vt:lpstr>Meses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Crystal Decisions</dc:creator>
  <dc:description>Powered by Crystal</dc:description>
  <cp:lastModifiedBy>Yuri Menacho</cp:lastModifiedBy>
  <cp:lastPrinted>2016-12-15T20:02:20Z</cp:lastPrinted>
  <dcterms:created xsi:type="dcterms:W3CDTF">2016-12-06T19:18:26Z</dcterms:created>
  <dcterms:modified xsi:type="dcterms:W3CDTF">2016-12-16T20:42:25Z</dcterms:modified>
</cp:coreProperties>
</file>